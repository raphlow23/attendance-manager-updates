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430"/>
  <workbookPr defaultThemeVersion="166925"/>
  <xr:revisionPtr revIDLastSave="0" documentId="13_ncr:1_{4EEBE63E-5A11-4A2D-915E-CF17FE9E9422}" xr6:coauthVersionLast="47" xr6:coauthVersionMax="47" xr10:uidLastSave="{00000000-0000-0000-0000-000000000000}"/>
  <bookViews>
    <workbookView xWindow="28680" yWindow="-120" windowWidth="29040" windowHeight="15720" xr2:uid="{188E96FB-8F26-45E2-A69E-5EDFE81D570A}"/>
  </bookViews>
  <sheets>
    <sheet name="출장비 양식" sheetId="4" r:id="rId1"/>
  </sheets>
  <definedNames>
    <definedName name="_xlnm.Print_Area" localSheetId="0">'출장비 양식'!$A$1:$L$35</definedName>
  </definedNames>
  <calcPr calcId="191029"/>
  <extLst>
    <ext uri="{140A7094-0E35-4892-8432-C4D2E57EDEB5}">
      <x15:workbookPr chartTrackingRefBase="1"/>
    </ex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h:mm;@"/>
    <numFmt numFmtId="177" formatCode="#,##0_ "/>
    <numFmt numFmtId="178" formatCode="&quot;₩&quot;#,##0_);[Red]\(&quot;₩&quot;#,##0\)"/>
    <numFmt numFmtId="179" formatCode="mm&quot;월&quot;\ dd&quot;일&quot;"/>
    <numFmt numFmtId="180" formatCode="#,##0&quot;원&quot;"/>
    <numFmt numFmtId="181" formatCode="0&quot;:00&quot;"/>
    <numFmt numFmtId="182" formatCode="##&quot;:00&quot;"/>
    <numFmt numFmtId="183" formatCode="0\ \ \ \ &quot;건&quot;"/>
    <numFmt numFmtId="184" formatCode="00&quot;:&quot;00"/>
    <numFmt numFmtId="185" formatCode="[h]:mm"/>
  </numFmts>
  <fonts count="20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바탕"/>
      <family val="1"/>
      <charset val="129"/>
    </font>
    <font>
      <sz val="14"/>
      <name val="Gulim"/>
      <family val="2"/>
    </font>
    <font>
      <sz val="8"/>
      <name val="돋움"/>
      <family val="3"/>
      <charset val="129"/>
    </font>
    <font>
      <sz val="11"/>
      <name val="Gulim"/>
      <family val="2"/>
    </font>
    <font>
      <sz val="11"/>
      <name val="Gulim"/>
      <family val="3"/>
      <charset val="129"/>
    </font>
    <font>
      <sz val="11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22"/>
      <color rgb="FF000000"/>
      <name val="Times New Roman"/>
      <family val="1"/>
    </font>
    <font>
      <sz val="10"/>
      <color rgb="FF000000"/>
      <name val="바탕"/>
      <family val="1"/>
      <charset val="129"/>
    </font>
    <font>
      <b/>
      <sz val="11"/>
      <name val="Gulim"/>
      <family val="3"/>
      <charset val="129"/>
    </font>
    <font>
      <b/>
      <sz val="22"/>
      <color rgb="FF000000"/>
      <name val="바탕"/>
      <family val="1"/>
      <charset val="129"/>
    </font>
    <font>
      <b/>
      <sz val="22"/>
      <color rgb="FF000000"/>
      <name val="Times New Roman"/>
      <family val="1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8"/>
      <color rgb="FF000000"/>
      <name val="굴림"/>
      <family val="3"/>
      <charset val="129"/>
    </font>
    <font>
      <b/>
      <sz val="11"/>
      <name val="굴림"/>
      <family val="3"/>
      <charset val="129"/>
    </font>
    <font>
      <sz val="9"/>
      <name val="굴림"/>
      <family val="3"/>
      <charset val="129"/>
    </font>
    <font>
      <sz val="8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4E4E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25">
    <xf numFmtId="0" fontId="0" fillId="0" borderId="0" xfId="0"/>
    <xf numFmtId="0" fontId="0" fillId="0" borderId="0" xfId="0" applyAlignment="1">
      <alignment horizontal="left" vertical="top"/>
    </xf>
    <xf numFmtId="0" fontId="5" fillId="2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41" fontId="0" fillId="0" borderId="0" xfId="1" applyFont="1" applyFill="1" applyBorder="1" applyAlignment="1">
      <alignment horizontal="left" vertical="top"/>
    </xf>
    <xf numFmtId="41" fontId="0" fillId="0" borderId="0" xfId="1" applyFont="1" applyFill="1" applyBorder="1" applyAlignment="1">
      <alignment horizontal="center" vertical="center"/>
    </xf>
    <xf numFmtId="177" fontId="0" fillId="0" borderId="0" xfId="1" applyNumberFormat="1" applyFont="1" applyFill="1" applyBorder="1" applyAlignment="1">
      <alignment horizontal="center" vertical="top"/>
    </xf>
    <xf numFmtId="0" fontId="0" fillId="0" borderId="0" xfId="1" applyNumberFormat="1" applyFont="1" applyFill="1" applyBorder="1" applyAlignment="1">
      <alignment horizontal="left" vertical="top"/>
    </xf>
    <xf numFmtId="41" fontId="0" fillId="0" borderId="0" xfId="0" applyNumberFormat="1" applyAlignment="1">
      <alignment horizontal="left" vertical="top"/>
    </xf>
    <xf numFmtId="178" fontId="0" fillId="0" borderId="0" xfId="1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wrapText="1"/>
    </xf>
    <xf numFmtId="20" fontId="8" fillId="0" borderId="15" xfId="0" applyNumberFormat="1" applyFont="1" applyBorder="1" applyAlignment="1">
      <alignment horizontal="center" vertical="center" shrinkToFit="1"/>
    </xf>
    <xf numFmtId="176" fontId="8" fillId="0" borderId="17" xfId="0" applyNumberFormat="1" applyFont="1" applyBorder="1" applyAlignment="1">
      <alignment horizontal="center" vertical="center" wrapText="1"/>
    </xf>
    <xf numFmtId="176" fontId="8" fillId="0" borderId="15" xfId="0" applyNumberFormat="1" applyFont="1" applyBorder="1" applyAlignment="1">
      <alignment horizontal="center" vertical="center" shrinkToFit="1"/>
    </xf>
    <xf numFmtId="0" fontId="8" fillId="0" borderId="16" xfId="0" applyFont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4" fillId="2" borderId="35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180" fontId="14" fillId="0" borderId="35" xfId="1" applyNumberFormat="1" applyFont="1" applyFill="1" applyBorder="1" applyAlignment="1">
      <alignment horizontal="center" vertical="center" wrapText="1"/>
    </xf>
    <xf numFmtId="179" fontId="8" fillId="0" borderId="32" xfId="0" applyNumberFormat="1" applyFont="1" applyBorder="1" applyAlignment="1">
      <alignment horizontal="center" vertical="center" wrapText="1"/>
    </xf>
    <xf numFmtId="180" fontId="14" fillId="0" borderId="15" xfId="0" applyNumberFormat="1" applyFont="1" applyBorder="1" applyAlignment="1">
      <alignment horizontal="center" vertical="center" shrinkToFit="1"/>
    </xf>
    <xf numFmtId="20" fontId="18" fillId="0" borderId="15" xfId="0" applyNumberFormat="1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wrapText="1"/>
    </xf>
    <xf numFmtId="181" fontId="18" fillId="0" borderId="17" xfId="0" applyNumberFormat="1" applyFont="1" applyBorder="1" applyAlignment="1">
      <alignment horizontal="center" vertical="center" wrapText="1"/>
    </xf>
    <xf numFmtId="183" fontId="14" fillId="0" borderId="15" xfId="0" applyNumberFormat="1" applyFont="1" applyBorder="1" applyAlignment="1">
      <alignment horizontal="right" vertical="center" shrinkToFit="1"/>
    </xf>
    <xf numFmtId="180" fontId="14" fillId="0" borderId="17" xfId="1" applyNumberFormat="1" applyFont="1" applyFill="1" applyBorder="1" applyAlignment="1">
      <alignment horizontal="center" vertical="center" wrapText="1"/>
    </xf>
    <xf numFmtId="184" fontId="18" fillId="0" borderId="17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179" fontId="18" fillId="0" borderId="32" xfId="0" applyNumberFormat="1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185" fontId="18" fillId="0" borderId="15" xfId="0" applyNumberFormat="1" applyFont="1" applyBorder="1" applyAlignment="1">
      <alignment horizontal="center" vertical="center" wrapText="1"/>
    </xf>
    <xf numFmtId="185" fontId="18" fillId="0" borderId="16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34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34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179" fontId="8" fillId="0" borderId="32" xfId="0" applyNumberFormat="1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176" fontId="8" fillId="0" borderId="15" xfId="0" applyNumberFormat="1" applyFont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182" fontId="18" fillId="0" borderId="15" xfId="0" applyNumberFormat="1" applyFont="1" applyBorder="1" applyAlignment="1">
      <alignment horizontal="center" vertical="center" wrapText="1"/>
    </xf>
    <xf numFmtId="182" fontId="18" fillId="0" borderId="16" xfId="0" applyNumberFormat="1" applyFont="1" applyBorder="1" applyAlignment="1">
      <alignment horizontal="center" vertical="center" wrapText="1"/>
    </xf>
    <xf numFmtId="0" fontId="8" fillId="0" borderId="32" xfId="0" applyFont="1" applyBorder="1" applyAlignment="1">
      <alignment horizontal="left" wrapText="1"/>
    </xf>
    <xf numFmtId="0" fontId="8" fillId="0" borderId="16" xfId="0" applyFont="1" applyBorder="1" applyAlignment="1">
      <alignment horizontal="left" wrapText="1"/>
    </xf>
    <xf numFmtId="176" fontId="8" fillId="0" borderId="15" xfId="0" applyNumberFormat="1" applyFont="1" applyBorder="1" applyAlignment="1">
      <alignment horizontal="left" vertical="center" wrapText="1"/>
    </xf>
    <xf numFmtId="176" fontId="8" fillId="0" borderId="16" xfId="0" applyNumberFormat="1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wrapText="1"/>
    </xf>
    <xf numFmtId="0" fontId="8" fillId="0" borderId="33" xfId="0" applyFont="1" applyBorder="1" applyAlignment="1">
      <alignment horizontal="left" wrapText="1"/>
    </xf>
    <xf numFmtId="0" fontId="8" fillId="0" borderId="34" xfId="0" applyFont="1" applyBorder="1" applyAlignment="1">
      <alignment horizontal="left" wrapText="1"/>
    </xf>
    <xf numFmtId="0" fontId="14" fillId="2" borderId="32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2" borderId="42" xfId="0" applyFont="1" applyFill="1" applyBorder="1" applyAlignment="1">
      <alignment horizontal="center" vertical="center" wrapText="1"/>
    </xf>
    <xf numFmtId="180" fontId="14" fillId="0" borderId="23" xfId="0" applyNumberFormat="1" applyFont="1" applyBorder="1" applyAlignment="1">
      <alignment horizontal="center" vertical="center" wrapText="1"/>
    </xf>
    <xf numFmtId="180" fontId="14" fillId="0" borderId="25" xfId="0" applyNumberFormat="1" applyFont="1" applyBorder="1" applyAlignment="1">
      <alignment horizontal="center" vertical="center" wrapText="1"/>
    </xf>
    <xf numFmtId="180" fontId="14" fillId="0" borderId="37" xfId="0" applyNumberFormat="1" applyFont="1" applyBorder="1" applyAlignment="1">
      <alignment horizontal="center" vertical="center" wrapText="1"/>
    </xf>
    <xf numFmtId="180" fontId="14" fillId="0" borderId="24" xfId="0" applyNumberFormat="1" applyFont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178" fontId="17" fillId="0" borderId="23" xfId="0" applyNumberFormat="1" applyFont="1" applyBorder="1" applyAlignment="1">
      <alignment horizontal="center" vertical="center" wrapText="1"/>
    </xf>
    <xf numFmtId="178" fontId="17" fillId="0" borderId="25" xfId="0" applyNumberFormat="1" applyFont="1" applyBorder="1" applyAlignment="1">
      <alignment horizontal="center" vertical="center" wrapText="1"/>
    </xf>
    <xf numFmtId="178" fontId="17" fillId="0" borderId="26" xfId="0" applyNumberFormat="1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shrinkToFit="1"/>
    </xf>
    <xf numFmtId="0" fontId="14" fillId="0" borderId="33" xfId="0" applyFont="1" applyBorder="1" applyAlignment="1">
      <alignment horizontal="center" vertical="center" shrinkToFit="1"/>
    </xf>
    <xf numFmtId="0" fontId="14" fillId="0" borderId="43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41" fontId="7" fillId="0" borderId="15" xfId="1" applyFont="1" applyFill="1" applyBorder="1" applyAlignment="1">
      <alignment horizontal="center" vertical="center" wrapText="1"/>
    </xf>
    <xf numFmtId="41" fontId="7" fillId="0" borderId="16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E12869B9-E969-42C7-82B9-E60165F93D79}">
  <sheetPr>
    <tabColor rgb="FFFFFF00"/>
  </sheetPr>
  <dimension ref="A1:Q35"/>
  <sheetViews>
    <sheetView tabSelected="1" view="pageBreakPreview" zoomScale="115" zoomScaleNormal="100" zoomScaleSheetLayoutView="115" workbookViewId="0">
      <selection activeCell="K17" sqref="K17:L17"/>
    </sheetView>
  </sheetViews>
  <sheetFormatPr defaultRowHeight="12.75"/>
  <cols>
    <col min="1" max="1" width="13.1640625" style="1" customWidth="1"/>
    <col min="2" max="2" width="1.33203125" style="1" hidden="1" customWidth="1"/>
    <col min="3" max="4" width="10.83203125" style="1" customWidth="1"/>
    <col min="5" max="5" width="9.83203125" style="1" customWidth="1"/>
    <col min="6" max="6" width="6" style="1" customWidth="1"/>
    <col min="7" max="7" width="8" style="1" customWidth="1"/>
    <col min="8" max="8" width="6.5" style="1" bestFit="1" customWidth="1"/>
    <col min="9" max="9" width="12.83203125" style="1" customWidth="1"/>
    <col min="10" max="10" width="2.83203125" style="1" customWidth="1"/>
    <col min="11" max="12" width="15.83203125" style="1" customWidth="1"/>
    <col min="13" max="13" width="12.83203125" style="1" customWidth="1"/>
    <col min="14" max="16" width="9.33203125" style="1"/>
    <col min="17" max="17" width="9.83203125" style="1" bestFit="1" customWidth="1"/>
    <col min="18" max="16384" width="9.33203125" style="1"/>
  </cols>
  <sheetData>
    <row r="1" spans="1:17" ht="27">
      <c r="A1" s="35" t="inlineStr">
        <is>
          <r>
            <rPr>
              <b/>
              <sz val="22"/>
              <color rgb="FF000000"/>
              <rFont val="바탕"/>
              <family val="1"/>
              <charset val="129"/>
            </rPr>
            <t>출</t>
          </r>
          <r>
            <rPr>
              <b/>
              <sz val="22"/>
              <color rgb="FF000000"/>
              <rFont val="Times New Roman"/>
              <family val="1"/>
            </rPr>
            <t xml:space="preserve"> </t>
          </r>
          <r>
            <rPr>
              <b/>
              <sz val="22"/>
              <color rgb="FF000000"/>
              <rFont val="바탕"/>
              <family val="1"/>
              <charset val="129"/>
            </rPr>
            <t>장</t>
          </r>
          <r>
            <rPr>
              <b/>
              <sz val="22"/>
              <color rgb="FF000000"/>
              <rFont val="Times New Roman"/>
              <family val="1"/>
            </rPr>
            <t xml:space="preserve"> </t>
          </r>
          <r>
            <rPr>
              <b/>
              <sz val="22"/>
              <color rgb="FF000000"/>
              <rFont val="바탕"/>
              <family val="1"/>
              <charset val="129"/>
            </rPr>
            <t>비</t>
          </r>
          <r>
            <rPr>
              <b/>
              <sz val="22"/>
              <color rgb="FF000000"/>
              <rFont val="Times New Roman"/>
              <family val="1"/>
            </rPr>
            <t xml:space="preserve"> </t>
          </r>
          <r>
            <rPr>
              <b/>
              <sz val="22"/>
              <color rgb="FF000000"/>
              <rFont val="바탕"/>
              <family val="1"/>
              <charset val="129"/>
            </rPr>
            <t>지</t>
          </r>
          <r>
            <rPr>
              <b/>
              <sz val="22"/>
              <color rgb="FF000000"/>
              <rFont val="Times New Roman"/>
              <family val="1"/>
            </rPr>
            <t xml:space="preserve"> </t>
          </r>
          <r>
            <rPr>
              <b/>
              <sz val="22"/>
              <color rgb="FF000000"/>
              <rFont val="바탕"/>
              <family val="1"/>
              <charset val="129"/>
            </rPr>
            <t>급</t>
          </r>
          <r>
            <rPr>
              <b/>
              <sz val="22"/>
              <color rgb="FF000000"/>
              <rFont val="Times New Roman"/>
              <family val="1"/>
            </rPr>
            <t xml:space="preserve"> </t>
          </r>
          <r>
            <rPr>
              <b/>
              <sz val="22"/>
              <color rgb="FF000000"/>
              <rFont val="바탕"/>
              <family val="1"/>
              <charset val="129"/>
            </rPr>
            <t>내</t>
          </r>
          <r>
            <rPr>
              <b/>
              <sz val="22"/>
              <color rgb="FF000000"/>
              <rFont val="Times New Roman"/>
              <family val="1"/>
            </rPr>
            <t xml:space="preserve"> </t>
          </r>
          <r>
            <rPr>
              <b/>
              <sz val="22"/>
              <color rgb="FF000000"/>
              <rFont val="바탕"/>
              <family val="1"/>
              <charset val="129"/>
            </rPr>
            <t>역</t>
          </r>
          <r>
            <rPr>
              <b/>
              <sz val="22"/>
              <color rgb="FF000000"/>
              <rFont val="Times New Roman"/>
              <family val="1"/>
            </rPr>
            <t xml:space="preserve"> </t>
          </r>
          <r>
            <rPr>
              <b/>
              <sz val="22"/>
              <color rgb="FF000000"/>
              <rFont val="바탕"/>
              <family val="1"/>
              <charset val="129"/>
            </rPr>
            <t>서</t>
          </r>
          <phoneticPr fontId="2" type="noConversion"/>
        </is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7" ht="13.5" thickBot="1"/>
    <row r="3" spans="1:17" ht="20.100000000000001" customHeight="1">
      <c r="H3" s="37" t="inlineStr">
        <is>
          <t>결
재</t>
          <phoneticPr fontId="4" type="noConversion"/>
        </is>
      </c>
      <c r="I3" s="39" t="inlineStr">
        <is>
          <t>담 당</t>
          <phoneticPr fontId="4" type="noConversion"/>
        </is>
      </c>
      <c r="J3" s="40"/>
      <c r="K3" s="2" t="inlineStr">
        <is>
          <t>센터선임</t>
          <phoneticPr fontId="4" type="noConversion"/>
        </is>
      </c>
      <c r="L3" s="12" t="inlineStr">
        <is>
          <t>센터장</t>
          <phoneticPr fontId="2" type="noConversion"/>
        </is>
      </c>
    </row>
    <row r="4" spans="1:17" ht="60" customHeight="1" thickBot="1">
      <c r="H4" s="38"/>
      <c r="I4" s="41"/>
      <c r="J4" s="42"/>
      <c r="K4" s="3"/>
      <c r="L4" s="4"/>
    </row>
    <row r="5" spans="1:17" ht="13.5" customHeight="1">
      <c r="A5" s="43" t="str"/>
      <c r="B5" s="43"/>
      <c r="C5" s="43"/>
      <c r="D5" s="43"/>
      <c r="E5" s="5"/>
    </row>
    <row r="6" spans="1:17" ht="13.5" thickBot="1"/>
    <row r="7" spans="1:17" ht="19.5" customHeight="1">
      <c r="A7" s="44" t="inlineStr">
        <is>
          <t>출  장 인 원</t>
        </is>
      </c>
      <c r="B7" s="45"/>
      <c r="C7" s="45"/>
      <c r="D7" s="46"/>
      <c r="E7" s="47" t="inlineStr">
        <is>
          <t>출장기간</t>
        </is>
      </c>
      <c r="F7" s="48"/>
      <c r="G7" s="48"/>
      <c r="H7" s="48"/>
      <c r="I7" s="49"/>
      <c r="J7" s="48" t="inlineStr">
        <is>
          <t>출장목적</t>
          <phoneticPr fontId="2" type="noConversion"/>
        </is>
      </c>
      <c r="K7" s="48"/>
      <c r="L7" s="53"/>
    </row>
    <row r="8" spans="1:17" ht="19.350000000000001" customHeight="1">
      <c r="A8" s="14" t="inlineStr">
        <is>
          <t>부서명</t>
        </is>
      </c>
      <c r="B8" s="55" t="inlineStr">
        <is>
          <t>직   위</t>
        </is>
      </c>
      <c r="C8" s="56"/>
      <c r="D8" s="15" t="inlineStr">
        <is>
          <t>성   명</t>
        </is>
      </c>
      <c r="E8" s="50"/>
      <c r="F8" s="51"/>
      <c r="G8" s="51"/>
      <c r="H8" s="51"/>
      <c r="I8" s="52"/>
      <c r="J8" s="51"/>
      <c r="K8" s="51"/>
      <c r="L8" s="54"/>
    </row>
    <row r="9" spans="1:17" ht="24.75" customHeight="1" thickBot="1">
      <c r="A9" s="18" t="str"/>
      <c r="B9" s="70" t="str"/>
      <c r="C9" s="71"/>
      <c r="D9" s="30" t="str"/>
      <c r="E9" s="70" t="str"/>
      <c r="F9" s="72"/>
      <c r="G9" s="72"/>
      <c r="H9" s="72"/>
      <c r="I9" s="71"/>
      <c r="J9" s="72" t="str"/>
      <c r="K9" s="72"/>
      <c r="L9" s="73"/>
      <c r="O9" s="13"/>
      <c r="P9" s="13"/>
    </row>
    <row r="10" spans="1:17" ht="19.5" customHeight="1">
      <c r="A10" s="74" t="inlineStr">
        <is>
          <t>출장일시</t>
        </is>
      </c>
      <c r="B10" s="75"/>
      <c r="C10" s="78" t="inlineStr">
        <is>
          <t>출장시간</t>
        </is>
      </c>
      <c r="D10" s="79"/>
      <c r="E10" s="80" t="inlineStr">
        <is>
          <t>교통
수단</t>
          <phoneticPr fontId="4" type="noConversion"/>
        </is>
      </c>
      <c r="F10" s="82" t="inlineStr">
        <is>
          <t>소요시간</t>
        </is>
      </c>
      <c r="G10" s="75"/>
      <c r="H10" s="82" t="inlineStr">
        <is>
          <t>출장장소</t>
        </is>
      </c>
      <c r="I10" s="84"/>
      <c r="J10" s="75"/>
      <c r="K10" s="82" t="inlineStr">
        <is>
          <t>사유  및 용무</t>
        </is>
      </c>
      <c r="L10" s="86"/>
      <c r="P10" s="13"/>
    </row>
    <row r="11" spans="1:17" ht="19.350000000000001" customHeight="1">
      <c r="A11" s="76"/>
      <c r="B11" s="77"/>
      <c r="C11" s="23" t="inlineStr">
        <is>
          <t>출발시간</t>
          <phoneticPr fontId="2" type="noConversion"/>
        </is>
      </c>
      <c r="D11" s="23" t="inlineStr">
        <is>
          <t>도착시간</t>
          <phoneticPr fontId="2" type="noConversion"/>
        </is>
      </c>
      <c r="E11" s="81"/>
      <c r="F11" s="83"/>
      <c r="G11" s="77"/>
      <c r="H11" s="83"/>
      <c r="I11" s="85"/>
      <c r="J11" s="77"/>
      <c r="K11" s="83"/>
      <c r="L11" s="87"/>
      <c r="P11" s="13"/>
    </row>
    <row r="12" spans="1:17" ht="24" customHeight="1">
      <c r="A12" s="57"/>
      <c r="B12" s="58"/>
      <c r="C12" s="34"/>
      <c r="D12" s="34"/>
      <c r="E12" s="29"/>
      <c r="F12" s="59" t="str">
        <f>IF(A12="","",MOD(TIME(INT(D12/100),MOD(D12,100),0)-TIME(INT(C12/100),MOD(C12,100),0),1))</f>
      </c>
      <c r="G12" s="60"/>
      <c r="H12" s="61"/>
      <c r="I12" s="62"/>
      <c r="J12" s="63"/>
      <c r="K12" s="64"/>
      <c r="L12" s="65"/>
      <c r="P12" s="13"/>
      <c r="Q12" s="6"/>
    </row>
    <row r="13" spans="1:17" ht="24" customHeight="1">
      <c r="A13" s="57"/>
      <c r="B13" s="58"/>
      <c r="C13" s="34"/>
      <c r="D13" s="34"/>
      <c r="E13" s="29"/>
      <c r="F13" s="59" t="str">
        <f t="shared" ref="F13:F20" si="0">IF(A13="","",MOD(TIME(INT(D13/100),MOD(D13,100),0)-TIME(INT(C13/100),MOD(C13,100),0),1))</f>
      </c>
      <c r="G13" s="60"/>
      <c r="H13" s="66"/>
      <c r="I13" s="67"/>
      <c r="J13" s="58"/>
      <c r="K13" s="68"/>
      <c r="L13" s="69"/>
      <c r="M13" s="7"/>
      <c r="N13" s="8"/>
      <c r="Q13" s="10"/>
    </row>
    <row r="14" spans="1:17" ht="24" customHeight="1">
      <c r="A14" s="88"/>
      <c r="B14" s="63"/>
      <c r="C14" s="34"/>
      <c r="D14" s="34"/>
      <c r="E14" s="19"/>
      <c r="F14" s="59" t="str">
        <f t="shared" si="0">IF(A14="","",MOD(TIME(INT(D14/100),MOD(D14,100),0)-TIME(INT(C14/100),MOD(C14,100),0),1))</f>
      </c>
      <c r="G14" s="60"/>
      <c r="H14" s="61"/>
      <c r="I14" s="62"/>
      <c r="J14" s="63"/>
      <c r="K14" s="64"/>
      <c r="L14" s="65"/>
      <c r="M14" s="7"/>
      <c r="N14" s="8"/>
      <c r="O14" s="13"/>
      <c r="P14" s="13"/>
    </row>
    <row r="15" spans="1:17" ht="24" customHeight="1">
      <c r="A15" s="88"/>
      <c r="B15" s="63"/>
      <c r="C15" s="34"/>
      <c r="D15" s="34"/>
      <c r="E15" s="19"/>
      <c r="F15" s="59" t="str">
        <f t="shared" si="0">IF(A15="","",MOD(TIME(INT(D15/100),MOD(D15,100),0)-TIME(INT(C15/100),MOD(C15,100),0),1))</f>
      </c>
      <c r="G15" s="60"/>
      <c r="H15" s="61"/>
      <c r="I15" s="62"/>
      <c r="J15" s="63"/>
      <c r="K15" s="64"/>
      <c r="L15" s="65"/>
      <c r="M15" s="7"/>
      <c r="N15" s="8"/>
      <c r="O15" s="9"/>
    </row>
    <row r="16" spans="1:17" ht="24" customHeight="1">
      <c r="A16" s="88"/>
      <c r="B16" s="63"/>
      <c r="C16" s="34"/>
      <c r="D16" s="34"/>
      <c r="E16" s="19"/>
      <c r="F16" s="59" t="str">
        <f t="shared" si="0">IF(A16="","",MOD(TIME(INT(D16/100),MOD(D16,100),0)-TIME(INT(C16/100),MOD(C16,100),0),1))</f>
      </c>
      <c r="G16" s="60"/>
      <c r="H16" s="61"/>
      <c r="I16" s="62"/>
      <c r="J16" s="63"/>
      <c r="K16" s="64"/>
      <c r="L16" s="65"/>
      <c r="M16" s="7"/>
      <c r="N16" s="8"/>
      <c r="O16" s="9"/>
    </row>
    <row r="17" spans="1:15" ht="24" customHeight="1">
      <c r="A17" s="88"/>
      <c r="B17" s="63"/>
      <c r="C17" s="34"/>
      <c r="D17" s="34"/>
      <c r="E17" s="19"/>
      <c r="F17" s="59" t="str">
        <f t="shared" si="0">IF(A17="","",MOD(TIME(INT(D17/100),MOD(D17,100),0)-TIME(INT(C17/100),MOD(C17,100),0),1))</f>
      </c>
      <c r="G17" s="60"/>
      <c r="H17" s="61"/>
      <c r="I17" s="62"/>
      <c r="J17" s="63"/>
      <c r="K17" s="64"/>
      <c r="L17" s="65"/>
      <c r="M17" s="7"/>
      <c r="N17" s="8"/>
      <c r="O17" s="9"/>
    </row>
    <row r="18" spans="1:15" ht="24" customHeight="1">
      <c r="A18" s="88"/>
      <c r="B18" s="63"/>
      <c r="C18" s="34"/>
      <c r="D18" s="34"/>
      <c r="E18" s="19"/>
      <c r="F18" s="59" t="str">
        <f t="shared" si="0">IF(A18="","",MOD(TIME(INT(D18/100),MOD(D18,100),0)-TIME(INT(C18/100),MOD(C18,100),0),1))</f>
      </c>
      <c r="G18" s="60"/>
      <c r="H18" s="61"/>
      <c r="I18" s="62"/>
      <c r="J18" s="63"/>
      <c r="K18" s="64"/>
      <c r="L18" s="65"/>
      <c r="M18" s="7"/>
      <c r="N18" s="8"/>
      <c r="O18" s="9"/>
    </row>
    <row r="19" spans="1:15" ht="24" customHeight="1">
      <c r="A19" s="88"/>
      <c r="B19" s="63"/>
      <c r="C19" s="34"/>
      <c r="D19" s="34"/>
      <c r="E19" s="19"/>
      <c r="F19" s="59" t="str">
        <f t="shared" si="0">IF(A19="","",MOD(TIME(INT(D19/100),MOD(D19,100),0)-TIME(INT(C19/100),MOD(C19,100),0),1))</f>
      </c>
      <c r="G19" s="60"/>
      <c r="H19" s="61"/>
      <c r="I19" s="62"/>
      <c r="J19" s="63"/>
      <c r="K19" s="64"/>
      <c r="L19" s="65"/>
      <c r="M19" s="7"/>
      <c r="N19" s="8"/>
      <c r="O19" s="9"/>
    </row>
    <row r="20" spans="1:15" ht="24" customHeight="1">
      <c r="A20" s="88"/>
      <c r="B20" s="63"/>
      <c r="C20" s="34"/>
      <c r="D20" s="34"/>
      <c r="E20" s="19"/>
      <c r="F20" s="59" t="str">
        <f t="shared" si="0">IF(A20="","",MOD(TIME(INT(D20/100),MOD(D20,100),0)-TIME(INT(C20/100),MOD(C20,100),0),1))</f>
      </c>
      <c r="G20" s="60"/>
      <c r="H20" s="61"/>
      <c r="I20" s="62"/>
      <c r="J20" s="63"/>
      <c r="K20" s="64"/>
      <c r="L20" s="65"/>
      <c r="M20" s="7"/>
      <c r="N20" s="8"/>
      <c r="O20" s="6"/>
    </row>
    <row r="21" spans="1:15" ht="24" customHeight="1">
      <c r="A21" s="27"/>
      <c r="B21" s="22"/>
      <c r="C21" s="34"/>
      <c r="D21" s="34"/>
      <c r="E21" s="19"/>
      <c r="F21" s="59" t="str">
        <f t="shared" ref="F21" si="1">IF(A21="","",MOD(TIME(INT(D21/100),MOD(D21,100),0)-TIME(INT(C21/100),MOD(C21,100),0),1))</f>
      </c>
      <c r="G21" s="60"/>
      <c r="H21" s="61"/>
      <c r="I21" s="62"/>
      <c r="J21" s="63"/>
      <c r="K21" s="64"/>
      <c r="L21" s="65"/>
      <c r="M21" s="7"/>
      <c r="N21" s="8"/>
      <c r="O21" s="6"/>
    </row>
    <row r="22" spans="1:15" ht="24" customHeight="1">
      <c r="A22" s="27"/>
      <c r="B22" s="22"/>
      <c r="C22" s="31"/>
      <c r="D22" s="31"/>
      <c r="E22" s="19"/>
      <c r="F22" s="96" t="str">
        <f>IF(A22="","",MOD(TIME(INT(D22/100),MOD(D22,100),0)-TIME(INT(C22/100),MOD(C22,100),0),1))</f>
      </c>
      <c r="G22" s="97"/>
      <c r="H22" s="61"/>
      <c r="I22" s="62"/>
      <c r="J22" s="63"/>
      <c r="K22" s="64"/>
      <c r="L22" s="65"/>
      <c r="M22" s="7"/>
      <c r="N22" s="8"/>
      <c r="O22" s="6"/>
    </row>
    <row r="23" spans="1:15" ht="24" customHeight="1">
      <c r="A23" s="27"/>
      <c r="B23" s="22"/>
      <c r="C23" s="31"/>
      <c r="D23" s="31"/>
      <c r="E23" s="19"/>
      <c r="F23" s="96" t="str">
        <f>IF(A23="","",MOD(TIME(INT(D23/100),MOD(D23,100),0)-TIME(INT(C23/100),MOD(C23,100),0),1))</f>
      </c>
      <c r="G23" s="97"/>
      <c r="H23" s="61"/>
      <c r="I23" s="62"/>
      <c r="J23" s="63"/>
      <c r="K23" s="64"/>
      <c r="L23" s="65"/>
      <c r="M23" s="7"/>
      <c r="N23" s="8"/>
      <c r="O23" s="6"/>
    </row>
    <row r="24" spans="1:15" ht="24" customHeight="1">
      <c r="A24" s="89"/>
      <c r="B24" s="63"/>
      <c r="C24" s="20"/>
      <c r="D24" s="20"/>
      <c r="E24" s="21"/>
      <c r="F24" s="90" t="str">
        <f>IF(A24="","",MOD(TIME(INT(D24/100),MOD(D24,100),0)-TIME(INT(C24/100),MOD(C24,100),0),1))</f>
      </c>
      <c r="G24" s="91"/>
      <c r="H24" s="92"/>
      <c r="I24" s="93"/>
      <c r="J24" s="94"/>
      <c r="K24" s="92"/>
      <c r="L24" s="95"/>
      <c r="M24" s="7"/>
      <c r="N24" s="8"/>
      <c r="O24" s="6"/>
    </row>
    <row r="25" spans="1:15" ht="24" customHeight="1">
      <c r="A25" s="89"/>
      <c r="B25" s="63"/>
      <c r="C25" s="20"/>
      <c r="D25" s="20"/>
      <c r="E25" s="21"/>
      <c r="F25" s="90" t="str">
        <f>IF(A25="","",MOD(TIME(INT(D25/100),MOD(D25,100),0)-TIME(INT(C25/100),MOD(C25,100),0),1))</f>
      </c>
      <c r="G25" s="91"/>
      <c r="H25" s="92"/>
      <c r="I25" s="93"/>
      <c r="J25" s="94"/>
      <c r="K25" s="92"/>
      <c r="L25" s="95"/>
      <c r="M25" s="7"/>
      <c r="N25" s="8"/>
      <c r="O25" s="6"/>
    </row>
    <row r="26" spans="1:15" ht="24" customHeight="1">
      <c r="A26" s="89"/>
      <c r="B26" s="63"/>
      <c r="C26" s="20"/>
      <c r="D26" s="20"/>
      <c r="E26" s="21"/>
      <c r="F26" s="90" t="str">
        <f>IF(A26="","",MOD(TIME(INT(D26/100),MOD(D26,100),0)-TIME(INT(C26/100),MOD(C26,100),0),1))</f>
      </c>
      <c r="G26" s="91"/>
      <c r="H26" s="92"/>
      <c r="I26" s="93"/>
      <c r="J26" s="94"/>
      <c r="K26" s="92"/>
      <c r="L26" s="95"/>
      <c r="M26" s="7"/>
      <c r="N26" s="8"/>
      <c r="O26" s="6"/>
    </row>
    <row r="27" spans="1:15" ht="24" customHeight="1">
      <c r="A27" s="89"/>
      <c r="B27" s="63"/>
      <c r="C27" s="20"/>
      <c r="D27" s="20"/>
      <c r="E27" s="21"/>
      <c r="F27" s="90" t="str">
        <f>IF(A27="","",MOD(TIME(INT(D27/100),MOD(D27,100),0)-TIME(INT(C27/100),MOD(C27,100),0),1))</f>
      </c>
      <c r="G27" s="91"/>
      <c r="H27" s="92"/>
      <c r="I27" s="93"/>
      <c r="J27" s="94"/>
      <c r="K27" s="92"/>
      <c r="L27" s="95"/>
      <c r="M27" s="7"/>
      <c r="N27" s="8"/>
      <c r="O27" s="6"/>
    </row>
    <row r="28" spans="1:15" ht="24" customHeight="1">
      <c r="A28" s="89"/>
      <c r="B28" s="63"/>
      <c r="C28" s="20"/>
      <c r="D28" s="20"/>
      <c r="E28" s="21"/>
      <c r="F28" s="90" t="str">
        <f>IF(A28="","",MOD(TIME(INT(D28/100),MOD(D28,100),0)-TIME(INT(C28/100),MOD(C28,100),0),1))</f>
      </c>
      <c r="G28" s="91"/>
      <c r="H28" s="92"/>
      <c r="I28" s="93"/>
      <c r="J28" s="94"/>
      <c r="K28" s="92"/>
      <c r="L28" s="95"/>
      <c r="M28" s="7"/>
      <c r="N28" s="8"/>
      <c r="O28" s="6"/>
    </row>
    <row r="29" spans="1:15" ht="24" customHeight="1">
      <c r="A29" s="89"/>
      <c r="B29" s="63"/>
      <c r="C29" s="20"/>
      <c r="D29" s="20"/>
      <c r="E29" s="21"/>
      <c r="F29" s="90" t="str">
        <f>IF(A29="","",MOD(TIME(INT(D29/100),MOD(D29,100),0)-TIME(INT(C29/100),MOD(C29,100),0),1))</f>
      </c>
      <c r="G29" s="91"/>
      <c r="H29" s="92"/>
      <c r="I29" s="93"/>
      <c r="J29" s="94"/>
      <c r="K29" s="92"/>
      <c r="L29" s="95"/>
      <c r="M29" s="7"/>
      <c r="N29" s="8"/>
      <c r="O29" s="6"/>
    </row>
    <row r="30" spans="1:15" ht="24" customHeight="1">
      <c r="A30" s="98"/>
      <c r="B30" s="99"/>
      <c r="C30" s="20"/>
      <c r="D30" s="20"/>
      <c r="E30" s="21"/>
      <c r="F30" s="100" t="str">
        <f>IF(A30="","",MOD(TIME(INT(D30/100),MOD(D30,100),0)-TIME(INT(C30/100),MOD(C30,100),0),1))</f>
      </c>
      <c r="G30" s="101"/>
      <c r="H30" s="102"/>
      <c r="I30" s="103"/>
      <c r="J30" s="99"/>
      <c r="K30" s="102"/>
      <c r="L30" s="104"/>
      <c r="M30" s="11"/>
      <c r="N30" s="10"/>
      <c r="O30" s="6"/>
    </row>
    <row r="31" spans="1:15" ht="24" customHeight="1">
      <c r="A31" s="105" t="inlineStr">
        <is>
          <t>소 요 경 비 내 역</t>
          <phoneticPr fontId="2" type="noConversion"/>
        </is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7"/>
      <c r="N31" s="28"/>
    </row>
    <row r="32" spans="1:15" ht="24" customHeight="1">
      <c r="A32" s="105" t="inlineStr">
        <is>
          <t>구분</t>
        </is>
      </c>
      <c r="B32" s="106"/>
      <c r="C32" s="56"/>
      <c r="D32" s="108" t="inlineStr">
        <is>
          <t>출장회수</t>
        </is>
      </c>
      <c r="E32" s="109"/>
      <c r="F32" s="56"/>
      <c r="G32" s="55" t="inlineStr">
        <is>
          <t>출장비</t>
        </is>
      </c>
      <c r="H32" s="56"/>
      <c r="I32" s="55" t="inlineStr">
        <is>
          <t>출장비 내역</t>
        </is>
      </c>
      <c r="J32" s="106"/>
      <c r="K32" s="56"/>
      <c r="L32" s="24" t="inlineStr">
        <is>
          <t>계</t>
        </is>
      </c>
    </row>
    <row r="33" spans="1:12" ht="24" customHeight="1">
      <c r="A33" s="119" t="inlineStr">
        <is>
          <t>4시간 미만</t>
          <phoneticPr fontId="4" type="noConversion"/>
        </is>
      </c>
      <c r="B33" s="120"/>
      <c r="C33" s="120"/>
      <c r="D33" s="121" t="n">
        <f>COUNTIFS($A$12:$A$30,"&gt;0",$F$12:$F$30,"&lt;"&amp;TIME(4,0,0))</f>
        <v>0</v>
      </c>
      <c r="E33" s="122"/>
      <c r="F33" s="16" t="inlineStr">
        <is>
          <t>건</t>
          <phoneticPr fontId="4" type="noConversion"/>
        </is>
      </c>
      <c r="G33" s="123">
        <v>10000</v>
      </c>
      <c r="H33" s="124"/>
      <c r="I33" s="32" t="n">
        <f>D33</f>
        <v>0</v>
      </c>
      <c r="J33" s="17" t="inlineStr">
        <is>
          <t>×</t>
        </is>
      </c>
      <c r="K33" s="33" t="n">
        <f>G33</f>
        <v>10000</v>
      </c>
      <c r="L33" s="26" t="n">
        <f>I33*K33</f>
        <v>0</v>
      </c>
    </row>
    <row r="34" spans="1:12" ht="24" customHeight="1">
      <c r="A34" s="119" t="inlineStr">
        <is>
          <t>4시간 이상</t>
          <phoneticPr fontId="4" type="noConversion"/>
        </is>
      </c>
      <c r="B34" s="120"/>
      <c r="C34" s="120"/>
      <c r="D34" s="121" t="n">
        <f>COUNTIFS($A$12:$A$30,"&gt;0",$F$12:$F$30,"&gt;="&amp;TIME(4,0,0))</f>
        <v>0</v>
      </c>
      <c r="E34" s="122"/>
      <c r="F34" s="16" t="inlineStr">
        <is>
          <t>건</t>
          <phoneticPr fontId="4" type="noConversion"/>
        </is>
      </c>
      <c r="G34" s="123">
        <v>20000</v>
      </c>
      <c r="H34" s="124"/>
      <c r="I34" s="32" t="n">
        <f>D34</f>
        <v>0</v>
      </c>
      <c r="J34" s="17" t="inlineStr">
        <is>
          <t>×</t>
        </is>
      </c>
      <c r="K34" s="33" t="n">
        <f>G34</f>
        <v>20000</v>
      </c>
      <c r="L34" s="26" t="n">
        <f>I34*K34</f>
        <v>0</v>
      </c>
    </row>
    <row r="35" spans="1:12" ht="24" customHeight="1" thickBot="1">
      <c r="A35" s="25" t="inlineStr">
        <is>
          <t>합   계</t>
        </is>
      </c>
      <c r="B35" s="110" t="n">
        <f>SUM(L33:L34)</f>
        <v>0</v>
      </c>
      <c r="C35" s="111"/>
      <c r="D35" s="112"/>
      <c r="E35" s="112"/>
      <c r="F35" s="111"/>
      <c r="G35" s="113"/>
      <c r="H35" s="114" t="inlineStr">
        <is>
          <t>실제지급금액</t>
        </is>
      </c>
      <c r="I35" s="115"/>
      <c r="J35" s="116" t="n">
        <f>B35</f>
        <v>0</v>
      </c>
      <c r="K35" s="117"/>
      <c r="L35" s="118"/>
    </row>
  </sheetData>
  <mergeCells count="105">
    <mergeCell ref="B35:G35"/>
    <mergeCell ref="H35:I35"/>
    <mergeCell ref="J35:L35"/>
    <mergeCell ref="A33:C33"/>
    <mergeCell ref="D33:E33"/>
    <mergeCell ref="G33:H33"/>
    <mergeCell ref="A34:C34"/>
    <mergeCell ref="D34:E34"/>
    <mergeCell ref="G34:H34"/>
    <mergeCell ref="A30:B30"/>
    <mergeCell ref="F30:G30"/>
    <mergeCell ref="H30:J30"/>
    <mergeCell ref="K30:L30"/>
    <mergeCell ref="A31:L31"/>
    <mergeCell ref="A32:C32"/>
    <mergeCell ref="D32:F32"/>
    <mergeCell ref="G32:H32"/>
    <mergeCell ref="I32:K32"/>
    <mergeCell ref="A28:B28"/>
    <mergeCell ref="F28:G28"/>
    <mergeCell ref="H28:J28"/>
    <mergeCell ref="K28:L28"/>
    <mergeCell ref="A29:B29"/>
    <mergeCell ref="F29:G29"/>
    <mergeCell ref="H29:J29"/>
    <mergeCell ref="K29:L29"/>
    <mergeCell ref="A26:B26"/>
    <mergeCell ref="F26:G26"/>
    <mergeCell ref="H26:J26"/>
    <mergeCell ref="K26:L26"/>
    <mergeCell ref="A27:B27"/>
    <mergeCell ref="F27:G27"/>
    <mergeCell ref="H27:J27"/>
    <mergeCell ref="K27:L27"/>
    <mergeCell ref="A24:B24"/>
    <mergeCell ref="F24:G24"/>
    <mergeCell ref="H24:J24"/>
    <mergeCell ref="K24:L24"/>
    <mergeCell ref="A25:B25"/>
    <mergeCell ref="F25:G25"/>
    <mergeCell ref="H25:J25"/>
    <mergeCell ref="K25:L25"/>
    <mergeCell ref="F22:G22"/>
    <mergeCell ref="H22:J22"/>
    <mergeCell ref="K22:L22"/>
    <mergeCell ref="F23:G23"/>
    <mergeCell ref="H23:J23"/>
    <mergeCell ref="K23:L23"/>
    <mergeCell ref="A20:B20"/>
    <mergeCell ref="F20:G20"/>
    <mergeCell ref="H20:J20"/>
    <mergeCell ref="K20:L20"/>
    <mergeCell ref="F21:G21"/>
    <mergeCell ref="H21:J21"/>
    <mergeCell ref="K21:L21"/>
    <mergeCell ref="A18:B18"/>
    <mergeCell ref="F18:G18"/>
    <mergeCell ref="H18:J18"/>
    <mergeCell ref="K18:L18"/>
    <mergeCell ref="A19:B19"/>
    <mergeCell ref="F19:G19"/>
    <mergeCell ref="H19:J19"/>
    <mergeCell ref="K19:L19"/>
    <mergeCell ref="A16:B16"/>
    <mergeCell ref="F16:G16"/>
    <mergeCell ref="H16:J16"/>
    <mergeCell ref="K16:L16"/>
    <mergeCell ref="A17:B17"/>
    <mergeCell ref="F17:G17"/>
    <mergeCell ref="H17:J17"/>
    <mergeCell ref="K17:L17"/>
    <mergeCell ref="A14:B14"/>
    <mergeCell ref="F14:G14"/>
    <mergeCell ref="H14:J14"/>
    <mergeCell ref="K14:L14"/>
    <mergeCell ref="A15:B15"/>
    <mergeCell ref="F15:G15"/>
    <mergeCell ref="H15:J15"/>
    <mergeCell ref="K15:L15"/>
    <mergeCell ref="A12:B12"/>
    <mergeCell ref="F12:G12"/>
    <mergeCell ref="H12:J12"/>
    <mergeCell ref="K12:L12"/>
    <mergeCell ref="A13:B13"/>
    <mergeCell ref="F13:G13"/>
    <mergeCell ref="H13:J13"/>
    <mergeCell ref="K13:L13"/>
    <mergeCell ref="B9:C9"/>
    <mergeCell ref="E9:I9"/>
    <mergeCell ref="J9:L9"/>
    <mergeCell ref="A10:B11"/>
    <mergeCell ref="C10:D10"/>
    <mergeCell ref="E10:E11"/>
    <mergeCell ref="F10:G11"/>
    <mergeCell ref="H10:J11"/>
    <mergeCell ref="K10:L11"/>
    <mergeCell ref="A1:L1"/>
    <mergeCell ref="H3:H4"/>
    <mergeCell ref="I3:J3"/>
    <mergeCell ref="I4:J4"/>
    <mergeCell ref="A5:D5"/>
    <mergeCell ref="A7:D7"/>
    <mergeCell ref="E7:I8"/>
    <mergeCell ref="J7:L8"/>
    <mergeCell ref="B8:C8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6" orientation="portrait"/>
</worksheet>
</file>

<file path=docProps/app.xml><?xml version="1.0" encoding="utf-8"?>
<Properties xmlns="http://schemas.openxmlformats.org/officeDocument/2006/extended-properties" xmlns:ns1="http://schemas.openxmlformats.org/officeDocument/2006/docPropsVTypes">
  <Application>출근정리</Application>
  <TitlesOfParts>
    <ns1:vector size="1" baseType="lpstr">
      <ns1:lpstr>출장비 양식</ns1:lpstr>
    </ns1:vector>
  </TitlesOfParts>
</Properties>
</file>

<file path=docProps/core.xml><?xml version="1.0" encoding="utf-8"?>
<coreProperties xmlns="http://schemas.openxmlformats.org/package/2006/metadata/core-properties"/>
</file>